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5D4E89A-55CE-4BF5-9550-8B4758C444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16" i="1"/>
  <c r="C32" i="1"/>
  <c r="C33" i="1"/>
  <c r="C34" i="1"/>
  <c r="C35" i="1"/>
  <c r="C36" i="1"/>
  <c r="C31" i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  <c r="B4" i="2"/>
  <c r="I3" i="2"/>
  <c r="B10" i="2"/>
  <c r="B11" i="2"/>
  <c r="B12" i="2"/>
  <c r="B13" i="2"/>
  <c r="B14" i="2"/>
  <c r="B15" i="2"/>
  <c r="B16" i="2"/>
  <c r="B17" i="2"/>
  <c r="B18" i="2"/>
  <c r="B19" i="2"/>
  <c r="B20" i="2"/>
  <c r="B21" i="2"/>
  <c r="B5" i="2"/>
  <c r="B6" i="2"/>
  <c r="B7" i="2"/>
  <c r="B8" i="2"/>
  <c r="B9" i="2"/>
  <c r="C28" i="1"/>
  <c r="C23" i="1"/>
  <c r="C24" i="1"/>
  <c r="C22" i="1"/>
  <c r="C21" i="1"/>
  <c r="D23" i="1"/>
  <c r="D17" i="1"/>
  <c r="D10" i="1"/>
  <c r="D20" i="1"/>
  <c r="D21" i="1"/>
  <c r="D22" i="1"/>
  <c r="D24" i="1"/>
  <c r="D32" i="1" l="1"/>
  <c r="D33" i="1"/>
  <c r="D34" i="1"/>
  <c r="D35" i="1"/>
  <c r="D36" i="1"/>
  <c r="D31" i="1"/>
  <c r="D37" i="1" s="1"/>
</calcChain>
</file>

<file path=xl/sharedStrings.xml><?xml version="1.0" encoding="utf-8"?>
<sst xmlns="http://schemas.openxmlformats.org/spreadsheetml/2006/main" count="85" uniqueCount="43">
  <si>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</si>
  <si>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</si>
  <si>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</si>
  <si>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</si>
  <si>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</si>
  <si>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</si>
  <si>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</si>
  <si>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</si>
  <si>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 xml:space="preserve"> </t>
  </si>
  <si>
    <t>Patrimônio acumulado?</t>
  </si>
  <si>
    <t>Dividendos Mensais</t>
  </si>
  <si>
    <t>Cenánarios</t>
  </si>
  <si>
    <t>Valor acumulado</t>
  </si>
  <si>
    <t>Dividendos</t>
  </si>
  <si>
    <t>Quanto em 2 Anos?</t>
  </si>
  <si>
    <t>Quanto em 5 Anos?</t>
  </si>
  <si>
    <t>Quanto em 10 Anos?</t>
  </si>
  <si>
    <t>Quanto em 20 Anos?</t>
  </si>
  <si>
    <t>Quanto em 30Anos?</t>
  </si>
  <si>
    <t>PERFIL</t>
  </si>
  <si>
    <t>Agressivo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</si>
  <si>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</si>
  <si>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</si>
  <si>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</si>
  <si>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</si>
  <si>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</si>
  <si>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</si>
  <si>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</si>
  <si>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</si>
  <si>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</si>
  <si>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HORTELARIAS</t>
  </si>
  <si>
    <t>SUGESTÃO DE FUNDOS:</t>
  </si>
  <si>
    <t>fonte Investidor10.com</t>
  </si>
  <si>
    <t>MXRF11,VGHF11,KNCR11</t>
  </si>
  <si>
    <t>GARE11,XPML11,HGLG11</t>
  </si>
  <si>
    <t>MXRF11,GARE11,VGHF11</t>
  </si>
  <si>
    <t>KISU11,HFOF11,RBRX11</t>
  </si>
  <si>
    <t>TGAR11,MFII11,HDOF11</t>
  </si>
  <si>
    <t>HTMX11,MGHT11</t>
  </si>
  <si>
    <t>CHAVE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</si>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</sst>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[$R$-416]\ #,##0.00"/>
  </numFmts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scheme val="minor"/>
    </font>
    <font>
      <sz val="18"/>
      <color rgb="FFFFFFFF"/>
      <name val="Calibri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rgb="FFFCE4D6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0" tint="-0.249977111117893"/>
      </left>
      <right style="medium">
        <color rgb="FF00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theme="0" tint="-0.249977111117893"/>
      </right>
      <top/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34998626667073579"/>
      </left>
      <right style="medium">
        <color rgb="FF000000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rgb="FF000000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indent="1"/>
    </xf>
    <xf numFmtId="0" fontId="4" fillId="2" borderId="5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 indent="1"/>
    </xf>
    <xf numFmtId="164" fontId="0" fillId="5" borderId="6" xfId="0" applyNumberFormat="1" applyFill="1" applyBorder="1" applyAlignment="1">
      <alignment horizontal="center"/>
    </xf>
    <xf numFmtId="0" fontId="0" fillId="5" borderId="7" xfId="0" applyFill="1" applyBorder="1"/>
    <xf numFmtId="164" fontId="0" fillId="5" borderId="8" xfId="0" applyNumberFormat="1" applyFill="1" applyBorder="1"/>
    <xf numFmtId="0" fontId="0" fillId="5" borderId="9" xfId="0" applyFill="1" applyBorder="1"/>
    <xf numFmtId="16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/>
    <xf numFmtId="0" fontId="7" fillId="6" borderId="0" xfId="1"/>
    <xf numFmtId="0" fontId="0" fillId="7" borderId="0" xfId="0" applyFill="1"/>
    <xf numFmtId="0" fontId="6" fillId="7" borderId="0" xfId="0" applyFont="1" applyFill="1"/>
    <xf numFmtId="0" fontId="7" fillId="6" borderId="0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9" borderId="15" xfId="0" applyFill="1" applyBorder="1" applyAlignment="1">
      <alignment horizontal="left"/>
    </xf>
    <xf numFmtId="9" fontId="0" fillId="9" borderId="15" xfId="0" applyNumberFormat="1" applyFill="1" applyBorder="1"/>
    <xf numFmtId="0" fontId="0" fillId="0" borderId="16" xfId="0" applyBorder="1"/>
    <xf numFmtId="0" fontId="2" fillId="0" borderId="12" xfId="0" applyFont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5" fillId="4" borderId="17" xfId="0" applyFont="1" applyFill="1" applyBorder="1" applyAlignment="1">
      <alignment horizontal="left" vertical="center" indent="2"/>
    </xf>
    <xf numFmtId="0" fontId="5" fillId="4" borderId="18" xfId="0" applyFont="1" applyFill="1" applyBorder="1" applyAlignment="1">
      <alignment horizontal="left" vertical="center" indent="2"/>
    </xf>
    <xf numFmtId="0" fontId="0" fillId="4" borderId="19" xfId="0" applyFill="1" applyBorder="1"/>
    <xf numFmtId="0" fontId="0" fillId="5" borderId="20" xfId="0" applyFill="1" applyBorder="1" applyAlignment="1">
      <alignment horizontal="left"/>
    </xf>
    <xf numFmtId="165" fontId="0" fillId="0" borderId="21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5" borderId="2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165" fontId="0" fillId="0" borderId="25" xfId="0" applyNumberFormat="1" applyBorder="1" applyAlignment="1">
      <alignment horizontal="center"/>
    </xf>
    <xf numFmtId="0" fontId="1" fillId="2" borderId="17" xfId="0" applyFont="1" applyFill="1" applyBorder="1" applyAlignment="1">
      <alignment horizontal="left" indent="1"/>
    </xf>
    <xf numFmtId="0" fontId="1" fillId="2" borderId="18" xfId="0" applyFont="1" applyFill="1" applyBorder="1" applyAlignment="1">
      <alignment horizontal="left" indent="1"/>
    </xf>
    <xf numFmtId="0" fontId="0" fillId="2" borderId="19" xfId="0" applyFill="1" applyBorder="1"/>
    <xf numFmtId="0" fontId="2" fillId="0" borderId="20" xfId="0" applyFont="1" applyBorder="1" applyAlignment="1">
      <alignment horizontal="left"/>
    </xf>
    <xf numFmtId="165" fontId="9" fillId="0" borderId="26" xfId="0" applyNumberFormat="1" applyFont="1" applyBorder="1" applyAlignment="1">
      <alignment horizontal="center"/>
    </xf>
    <xf numFmtId="1" fontId="9" fillId="0" borderId="27" xfId="0" applyNumberFormat="1" applyFont="1" applyBorder="1" applyAlignment="1">
      <alignment horizontal="center"/>
    </xf>
    <xf numFmtId="10" fontId="9" fillId="0" borderId="27" xfId="0" applyNumberFormat="1" applyFont="1" applyBorder="1" applyAlignment="1">
      <alignment horizontal="center"/>
    </xf>
    <xf numFmtId="0" fontId="3" fillId="3" borderId="20" xfId="0" applyFont="1" applyFill="1" applyBorder="1" applyAlignment="1">
      <alignment horizontal="left"/>
    </xf>
    <xf numFmtId="164" fontId="9" fillId="3" borderId="27" xfId="0" applyNumberFormat="1" applyFont="1" applyFill="1" applyBorder="1" applyAlignment="1">
      <alignment horizontal="center"/>
    </xf>
    <xf numFmtId="0" fontId="3" fillId="3" borderId="23" xfId="0" applyFont="1" applyFill="1" applyBorder="1" applyAlignment="1">
      <alignment horizontal="left"/>
    </xf>
    <xf numFmtId="0" fontId="3" fillId="3" borderId="28" xfId="0" applyFont="1" applyFill="1" applyBorder="1" applyAlignment="1">
      <alignment horizontal="left"/>
    </xf>
    <xf numFmtId="164" fontId="9" fillId="3" borderId="29" xfId="0" applyNumberFormat="1" applyFont="1" applyFill="1" applyBorder="1" applyAlignment="1">
      <alignment horizontal="center"/>
    </xf>
    <xf numFmtId="0" fontId="8" fillId="8" borderId="1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0" fontId="0" fillId="8" borderId="23" xfId="0" applyFill="1" applyBorder="1"/>
    <xf numFmtId="0" fontId="0" fillId="8" borderId="14" xfId="0" applyFill="1" applyBorder="1"/>
    <xf numFmtId="166" fontId="9" fillId="8" borderId="30" xfId="0" applyNumberFormat="1" applyFont="1" applyFill="1" applyBorder="1"/>
    <xf numFmtId="0" fontId="0" fillId="0" borderId="31" xfId="0" applyBorder="1" applyAlignment="1">
      <alignment horizontal="center" vertical="center"/>
    </xf>
    <xf numFmtId="9" fontId="0" fillId="0" borderId="31" xfId="0" applyNumberFormat="1" applyBorder="1" applyAlignment="1">
      <alignment horizontal="center"/>
    </xf>
    <xf numFmtId="166" fontId="0" fillId="0" borderId="31" xfId="0" applyNumberFormat="1" applyBorder="1"/>
    <xf numFmtId="0" fontId="9" fillId="10" borderId="1" xfId="0" applyFont="1" applyFill="1" applyBorder="1" applyAlignment="1">
      <alignment horizontal="center"/>
    </xf>
    <xf numFmtId="0" fontId="0" fillId="10" borderId="5" xfId="0" applyFill="1" applyBorder="1"/>
    <xf numFmtId="0" fontId="10" fillId="10" borderId="2" xfId="0" applyFont="1" applyFill="1" applyBorder="1"/>
    <xf numFmtId="0" fontId="9" fillId="0" borderId="3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0" fillId="0" borderId="34" xfId="0" applyBorder="1"/>
    <xf numFmtId="0" fontId="9" fillId="0" borderId="4" xfId="0" applyFon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1</xdr:row>
      <xdr:rowOff>19050</xdr:rowOff>
    </xdr:from>
    <xdr:to>
      <xdr:col>4</xdr:col>
      <xdr:colOff>0</xdr:colOff>
      <xdr:row>5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6E06D6-EF20-3A69-C4D2-5E0B649FC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333375" y="209550"/>
          <a:ext cx="7381875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45"/>
  <sheetViews>
    <sheetView showGridLines="0" tabSelected="1" topLeftCell="A33" workbookViewId="0">
      <selection activeCell="B39" sqref="B39:D45"/>
    </sheetView>
  </sheetViews>
  <sheetFormatPr defaultColWidth="0" defaultRowHeight="15"/>
  <cols>
    <col min="1" max="1" width="6.42578125" style="12" customWidth="1"/>
    <col min="2" max="2" width="44" bestFit="1" customWidth="1"/>
    <col min="3" max="3" width="27.28515625" bestFit="1" customWidth="1"/>
    <col min="4" max="4" width="27.42578125" customWidth="1"/>
    <col min="5" max="5" width="22.85546875" hidden="1" customWidth="1"/>
    <col min="6" max="6" width="10.7109375" hidden="1" customWidth="1"/>
    <col min="7" max="7" width="9.140625" hidden="1" customWidth="1"/>
    <col min="8" max="8" width="0" hidden="1" customWidth="1"/>
  </cols>
  <sheetData>
    <row r="7" spans="2:7" ht="23.25">
      <c r="B7" s="29" t="s">
        <v>0</v>
      </c>
      <c r="C7" s="30"/>
      <c r="D7" s="31"/>
    </row>
    <row r="8" spans="2:7" ht="15" customHeight="1">
      <c r="B8" s="32" t="s">
        <v>1</v>
      </c>
      <c r="C8" s="28"/>
      <c r="D8" s="33">
        <v>1800</v>
      </c>
    </row>
    <row r="9" spans="2:7">
      <c r="B9" s="32" t="s">
        <v>2</v>
      </c>
      <c r="C9" s="28"/>
      <c r="D9" s="34">
        <v>5.0000000000000001E-3</v>
      </c>
    </row>
    <row r="10" spans="2:7">
      <c r="B10" s="35" t="s">
        <v>3</v>
      </c>
      <c r="C10" s="36"/>
      <c r="D10" s="37">
        <f>D8*30%</f>
        <v>540</v>
      </c>
    </row>
    <row r="12" spans="2:7" ht="26.25">
      <c r="B12" s="38" t="s">
        <v>4</v>
      </c>
      <c r="C12" s="39"/>
      <c r="D12" s="40"/>
    </row>
    <row r="13" spans="2:7" ht="15.75">
      <c r="B13" s="41" t="s">
        <v>5</v>
      </c>
      <c r="C13" s="26"/>
      <c r="D13" s="42">
        <v>200</v>
      </c>
    </row>
    <row r="14" spans="2:7" ht="15.75">
      <c r="B14" s="41" t="s">
        <v>6</v>
      </c>
      <c r="C14" s="26"/>
      <c r="D14" s="43">
        <v>5</v>
      </c>
    </row>
    <row r="15" spans="2:7" ht="15.75">
      <c r="B15" s="41" t="s">
        <v>7</v>
      </c>
      <c r="C15" s="26"/>
      <c r="D15" s="44" t="s">
        <v>8</v>
      </c>
      <c r="G15" s="1"/>
    </row>
    <row r="16" spans="2:7" ht="15.75">
      <c r="B16" s="45" t="s">
        <v>9</v>
      </c>
      <c r="C16" s="27"/>
      <c r="D16" s="46" t="e">
        <f>FV(D15,D14*12,D13*-1)</f>
        <v>#VALUE!</v>
      </c>
    </row>
    <row r="17" spans="1:4" ht="15.75">
      <c r="B17" s="47" t="s">
        <v>10</v>
      </c>
      <c r="C17" s="48"/>
      <c r="D17" s="49" t="e">
        <f>D16*1%</f>
        <v>#VALUE!</v>
      </c>
    </row>
    <row r="19" spans="1:4" ht="26.25">
      <c r="B19" s="2" t="s">
        <v>11</v>
      </c>
      <c r="C19" s="3" t="s">
        <v>12</v>
      </c>
      <c r="D19" s="4" t="s">
        <v>13</v>
      </c>
    </row>
    <row r="20" spans="1:4">
      <c r="A20" s="13">
        <v>2</v>
      </c>
      <c r="B20" s="6" t="s">
        <v>14</v>
      </c>
      <c r="C20" s="5">
        <f>FV($D$9,$A20*12,$D$13*-1)</f>
        <v>5086.3910482155106</v>
      </c>
      <c r="D20" s="7">
        <f>C20*1%</f>
        <v>50.863910482155106</v>
      </c>
    </row>
    <row r="21" spans="1:4">
      <c r="A21" s="13">
        <v>5</v>
      </c>
      <c r="B21" s="6" t="s">
        <v>15</v>
      </c>
      <c r="C21" s="5">
        <f>FV($D$9,$A21*12,$D$13*-1)</f>
        <v>13954.006101972149</v>
      </c>
      <c r="D21" s="7">
        <f t="shared" ref="D21:D24" si="0">C21*1%</f>
        <v>139.54006101972149</v>
      </c>
    </row>
    <row r="22" spans="1:4">
      <c r="A22" s="13">
        <v>10</v>
      </c>
      <c r="B22" s="6" t="s">
        <v>16</v>
      </c>
      <c r="C22" s="5">
        <f>FV($D$9,$A22*12,$D$13*-1)</f>
        <v>32775.86936129121</v>
      </c>
      <c r="D22" s="7">
        <f t="shared" si="0"/>
        <v>327.75869361291211</v>
      </c>
    </row>
    <row r="23" spans="1:4">
      <c r="A23" s="13">
        <v>20</v>
      </c>
      <c r="B23" s="6" t="s">
        <v>17</v>
      </c>
      <c r="C23" s="5">
        <f>FV($D$9,$A23*12,$D$13*-1)</f>
        <v>92408.17903229309</v>
      </c>
      <c r="D23" s="7">
        <f>C23*1%</f>
        <v>924.08179032293094</v>
      </c>
    </row>
    <row r="24" spans="1:4">
      <c r="A24" s="13">
        <v>30</v>
      </c>
      <c r="B24" s="8" t="s">
        <v>18</v>
      </c>
      <c r="C24" s="9">
        <f>FV($D$9,$A24*12,$D$13*-1)</f>
        <v>200903.00849051549</v>
      </c>
      <c r="D24" s="10">
        <f t="shared" si="0"/>
        <v>2009.030084905155</v>
      </c>
    </row>
    <row r="27" spans="1:4">
      <c r="B27" s="11" t="s">
        <v>19</v>
      </c>
      <c r="C27" s="14" t="s">
        <v>20</v>
      </c>
      <c r="D27" s="11"/>
    </row>
    <row r="28" spans="1:4">
      <c r="B28" t="s">
        <v>21</v>
      </c>
      <c r="C28" s="15">
        <f>D13</f>
        <v>200</v>
      </c>
    </row>
    <row r="30" spans="1:4">
      <c r="B30" s="50" t="s">
        <v>22</v>
      </c>
      <c r="C30" s="51" t="s">
        <v>23</v>
      </c>
      <c r="D30" s="52" t="s">
        <v>24</v>
      </c>
    </row>
    <row r="31" spans="1:4">
      <c r="B31" s="56" t="s">
        <v>25</v>
      </c>
      <c r="C31" s="57">
        <f>VLOOKUP(C$27&amp;"-"&amp;B31,Planilha2!$B:$E,4,FALSE)</f>
        <v>0.5</v>
      </c>
      <c r="D31" s="58">
        <f>C31*$C$28</f>
        <v>100</v>
      </c>
    </row>
    <row r="32" spans="1:4">
      <c r="B32" s="56" t="s">
        <v>26</v>
      </c>
      <c r="C32" s="57">
        <f>VLOOKUP(C$27&amp;"-"&amp;B32,Planilha2!$B:$E,4,FALSE)</f>
        <v>0.1</v>
      </c>
      <c r="D32" s="58">
        <f t="shared" ref="D32:D36" si="1">C32*$C$28</f>
        <v>20</v>
      </c>
    </row>
    <row r="33" spans="2:4">
      <c r="B33" s="56" t="s">
        <v>27</v>
      </c>
      <c r="C33" s="57">
        <f>VLOOKUP(C$27&amp;"-"&amp;B33,Planilha2!$B:$E,4,FALSE)</f>
        <v>0.05</v>
      </c>
      <c r="D33" s="58">
        <f t="shared" si="1"/>
        <v>10</v>
      </c>
    </row>
    <row r="34" spans="2:4">
      <c r="B34" s="56" t="s">
        <v>28</v>
      </c>
      <c r="C34" s="57">
        <f>VLOOKUP(C$27&amp;"-"&amp;B34,Planilha2!$B:$E,4,FALSE)</f>
        <v>0.05</v>
      </c>
      <c r="D34" s="58">
        <f t="shared" si="1"/>
        <v>10</v>
      </c>
    </row>
    <row r="35" spans="2:4">
      <c r="B35" s="56" t="s">
        <v>29</v>
      </c>
      <c r="C35" s="57">
        <f>VLOOKUP(C$27&amp;"-"&amp;B35,Planilha2!$B:$E,4,FALSE)</f>
        <v>0.2</v>
      </c>
      <c r="D35" s="58">
        <f t="shared" si="1"/>
        <v>40</v>
      </c>
    </row>
    <row r="36" spans="2:4">
      <c r="B36" s="56" t="s">
        <v>30</v>
      </c>
      <c r="C36" s="57">
        <f>VLOOKUP(C$27&amp;"-"&amp;B36,Planilha2!$B:$E,4,FALSE)</f>
        <v>0.1</v>
      </c>
      <c r="D36" s="58">
        <f t="shared" si="1"/>
        <v>20</v>
      </c>
    </row>
    <row r="37" spans="2:4">
      <c r="B37" s="53"/>
      <c r="C37" s="54"/>
      <c r="D37" s="55">
        <f>SUM(D31:D36)</f>
        <v>200</v>
      </c>
    </row>
    <row r="39" spans="2:4">
      <c r="B39" s="59" t="s">
        <v>31</v>
      </c>
      <c r="C39" s="60"/>
      <c r="D39" s="61" t="s">
        <v>32</v>
      </c>
    </row>
    <row r="40" spans="2:4">
      <c r="B40" s="62" t="s">
        <v>25</v>
      </c>
      <c r="C40" s="25"/>
      <c r="D40" s="63" t="s">
        <v>33</v>
      </c>
    </row>
    <row r="41" spans="2:4">
      <c r="B41" s="62" t="s">
        <v>26</v>
      </c>
      <c r="C41" s="25"/>
      <c r="D41" s="63" t="s">
        <v>34</v>
      </c>
    </row>
    <row r="42" spans="2:4">
      <c r="B42" s="62" t="s">
        <v>27</v>
      </c>
      <c r="C42" s="25"/>
      <c r="D42" s="63" t="s">
        <v>35</v>
      </c>
    </row>
    <row r="43" spans="2:4">
      <c r="B43" s="62" t="s">
        <v>28</v>
      </c>
      <c r="C43" s="25"/>
      <c r="D43" s="63" t="s">
        <v>36</v>
      </c>
    </row>
    <row r="44" spans="2:4">
      <c r="B44" s="62" t="s">
        <v>29</v>
      </c>
      <c r="C44" s="25"/>
      <c r="D44" s="63" t="s">
        <v>37</v>
      </c>
    </row>
    <row r="45" spans="2:4">
      <c r="B45" s="64" t="s">
        <v>30</v>
      </c>
      <c r="C45" s="65"/>
      <c r="D45" s="66" t="s">
        <v>38</v>
      </c>
    </row>
  </sheetData>
  <mergeCells count="10">
    <mergeCell ref="B7:C7"/>
    <mergeCell ref="B8:C8"/>
    <mergeCell ref="B9:C9"/>
    <mergeCell ref="B10:C10"/>
    <mergeCell ref="B12:C12"/>
    <mergeCell ref="B13:C13"/>
    <mergeCell ref="B14:C14"/>
    <mergeCell ref="B15:C15"/>
    <mergeCell ref="B16:C16"/>
    <mergeCell ref="B17:C17"/>
  </mergeCells>
  <dataValidations count="2">
    <dataValidation type="custom" allowBlank="1" showInputMessage="1" showErrorMessage="1" sqref="C29" xr:uid="{650C11B1-FB07-4BE6-91F9-0BA5A936F36F}">
      <formula1>"Conservador;Moderado;Agressivo"</formula1>
    </dataValidation>
    <dataValidation type="list" allowBlank="1" showInputMessage="1" showErrorMessage="1" sqref="C27" xr:uid="{FE24AED9-B8D0-453E-A5C3-4CA16DA96D6C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FB66-9DD1-46FB-A87A-56BA5A6CCA86}">
  <dimension ref="A3:I21"/>
  <sheetViews>
    <sheetView topLeftCell="A5" workbookViewId="0">
      <selection activeCell="E13" sqref="E13"/>
    </sheetView>
  </sheetViews>
  <sheetFormatPr defaultRowHeight="15"/>
  <cols>
    <col min="2" max="2" width="31.28515625" style="1" bestFit="1" customWidth="1"/>
    <col min="3" max="3" width="12.7109375" customWidth="1"/>
    <col min="4" max="4" width="19.28515625" bestFit="1" customWidth="1"/>
    <col min="5" max="5" width="10.85546875" style="16" bestFit="1" customWidth="1"/>
    <col min="8" max="8" width="31.28515625" bestFit="1" customWidth="1"/>
    <col min="9" max="9" width="9.140625" style="17"/>
  </cols>
  <sheetData>
    <row r="3" spans="1:9">
      <c r="B3" s="1" t="s">
        <v>39</v>
      </c>
      <c r="C3" t="s">
        <v>19</v>
      </c>
      <c r="D3" s="16" t="s">
        <v>22</v>
      </c>
      <c r="E3" s="16" t="s">
        <v>40</v>
      </c>
      <c r="H3" s="23" t="str">
        <f>$B4</f>
        <v>Conservador-PAPEL</v>
      </c>
      <c r="I3" s="24">
        <f>VLOOKUP(H3,$B:$E,4,FALSE)</f>
        <v>0.3</v>
      </c>
    </row>
    <row r="4" spans="1:9">
      <c r="B4" s="1" t="str">
        <f>C4&amp;"-"&amp;D4</f>
        <v>Conservador-PAPEL</v>
      </c>
      <c r="C4" t="s">
        <v>41</v>
      </c>
      <c r="D4" s="16" t="s">
        <v>25</v>
      </c>
      <c r="E4" s="18">
        <v>0.3</v>
      </c>
      <c r="H4" s="23" t="str">
        <f t="shared" ref="H4:H20" si="0">$B5</f>
        <v>Conservador-TIJOLO</v>
      </c>
      <c r="I4" s="24">
        <f t="shared" ref="I4:I20" si="1">VLOOKUP(H4,$B:$E,4,FALSE)</f>
        <v>0.5</v>
      </c>
    </row>
    <row r="5" spans="1:9">
      <c r="B5" s="1" t="str">
        <f t="shared" ref="B5:B21" si="2">C5&amp;"-"&amp;D5</f>
        <v>Conservador-TIJOLO</v>
      </c>
      <c r="C5" t="s">
        <v>41</v>
      </c>
      <c r="D5" s="16" t="s">
        <v>26</v>
      </c>
      <c r="E5" s="18">
        <v>0.5</v>
      </c>
      <c r="H5" s="23" t="str">
        <f t="shared" si="0"/>
        <v>Conservador-HÍBRIDOS</v>
      </c>
      <c r="I5" s="24">
        <f t="shared" si="1"/>
        <v>0.1</v>
      </c>
    </row>
    <row r="6" spans="1:9">
      <c r="B6" s="1" t="str">
        <f t="shared" si="2"/>
        <v>Conservador-HÍBRIDOS</v>
      </c>
      <c r="C6" t="s">
        <v>41</v>
      </c>
      <c r="D6" s="16" t="s">
        <v>27</v>
      </c>
      <c r="E6" s="18">
        <v>0.1</v>
      </c>
      <c r="H6" s="23" t="str">
        <f t="shared" si="0"/>
        <v>Conservador-FOFs</v>
      </c>
      <c r="I6" s="24">
        <f t="shared" si="1"/>
        <v>0.1</v>
      </c>
    </row>
    <row r="7" spans="1:9">
      <c r="B7" s="1" t="str">
        <f t="shared" si="2"/>
        <v>Conservador-FOFs</v>
      </c>
      <c r="C7" t="s">
        <v>41</v>
      </c>
      <c r="D7" s="16" t="s">
        <v>28</v>
      </c>
      <c r="E7" s="18">
        <v>0.1</v>
      </c>
      <c r="H7" s="23" t="str">
        <f t="shared" si="0"/>
        <v>Conservador-DESENVOLVIMENTO</v>
      </c>
      <c r="I7" s="24">
        <f t="shared" si="1"/>
        <v>0</v>
      </c>
    </row>
    <row r="8" spans="1:9">
      <c r="B8" s="1" t="str">
        <f t="shared" si="2"/>
        <v>Conservador-DESENVOLVIMENTO</v>
      </c>
      <c r="C8" t="s">
        <v>41</v>
      </c>
      <c r="D8" s="16" t="s">
        <v>29</v>
      </c>
      <c r="E8" s="18">
        <v>0</v>
      </c>
      <c r="H8" s="23" t="str">
        <f t="shared" si="0"/>
        <v>Conservador-HORTELARIAS</v>
      </c>
      <c r="I8" s="24">
        <f t="shared" si="1"/>
        <v>0</v>
      </c>
    </row>
    <row r="9" spans="1:9">
      <c r="A9" s="19"/>
      <c r="B9" s="20" t="str">
        <f t="shared" si="2"/>
        <v>Conservador-HORTELARIAS</v>
      </c>
      <c r="C9" s="19" t="s">
        <v>41</v>
      </c>
      <c r="D9" s="21" t="s">
        <v>30</v>
      </c>
      <c r="E9" s="22">
        <v>0</v>
      </c>
      <c r="H9" s="23" t="str">
        <f t="shared" si="0"/>
        <v>Moderado-PAPEL</v>
      </c>
      <c r="I9" s="24">
        <f t="shared" si="1"/>
        <v>0.32</v>
      </c>
    </row>
    <row r="10" spans="1:9">
      <c r="B10" s="1" t="str">
        <f t="shared" si="2"/>
        <v>Moderado-PAPEL</v>
      </c>
      <c r="C10" t="s">
        <v>42</v>
      </c>
      <c r="D10" s="16" t="s">
        <v>25</v>
      </c>
      <c r="E10" s="18">
        <v>0.32</v>
      </c>
      <c r="H10" s="23" t="str">
        <f t="shared" si="0"/>
        <v>Moderado-TIJOLO</v>
      </c>
      <c r="I10" s="24">
        <f t="shared" si="1"/>
        <v>0.35</v>
      </c>
    </row>
    <row r="11" spans="1:9">
      <c r="B11" s="1" t="str">
        <f t="shared" si="2"/>
        <v>Moderado-TIJOLO</v>
      </c>
      <c r="C11" t="s">
        <v>42</v>
      </c>
      <c r="D11" s="16" t="s">
        <v>26</v>
      </c>
      <c r="E11" s="18">
        <v>0.35</v>
      </c>
      <c r="H11" s="23" t="str">
        <f t="shared" si="0"/>
        <v>Moderado-HÍBRIDOS</v>
      </c>
      <c r="I11" s="24">
        <f t="shared" si="1"/>
        <v>0.08</v>
      </c>
    </row>
    <row r="12" spans="1:9">
      <c r="B12" s="1" t="str">
        <f t="shared" si="2"/>
        <v>Moderado-HÍBRIDOS</v>
      </c>
      <c r="C12" t="s">
        <v>42</v>
      </c>
      <c r="D12" s="16" t="s">
        <v>27</v>
      </c>
      <c r="E12" s="18">
        <v>0.08</v>
      </c>
      <c r="H12" s="23" t="str">
        <f t="shared" si="0"/>
        <v>Moderado-FOFs</v>
      </c>
      <c r="I12" s="24">
        <f t="shared" si="1"/>
        <v>0.05</v>
      </c>
    </row>
    <row r="13" spans="1:9">
      <c r="B13" s="1" t="str">
        <f t="shared" si="2"/>
        <v>Moderado-FOFs</v>
      </c>
      <c r="C13" t="s">
        <v>42</v>
      </c>
      <c r="D13" s="16" t="s">
        <v>28</v>
      </c>
      <c r="E13" s="18">
        <v>0.05</v>
      </c>
      <c r="H13" s="23" t="str">
        <f t="shared" si="0"/>
        <v>Moderado-DESENVOLVIMENTO</v>
      </c>
      <c r="I13" s="24">
        <f t="shared" si="1"/>
        <v>0.1</v>
      </c>
    </row>
    <row r="14" spans="1:9">
      <c r="B14" s="1" t="str">
        <f t="shared" si="2"/>
        <v>Moderado-DESENVOLVIMENTO</v>
      </c>
      <c r="C14" t="s">
        <v>42</v>
      </c>
      <c r="D14" s="16" t="s">
        <v>29</v>
      </c>
      <c r="E14" s="18">
        <v>0.1</v>
      </c>
      <c r="H14" s="23" t="str">
        <f t="shared" si="0"/>
        <v>Moderado-HORTELARIAS</v>
      </c>
      <c r="I14" s="24">
        <f t="shared" si="1"/>
        <v>0.1</v>
      </c>
    </row>
    <row r="15" spans="1:9">
      <c r="A15" s="19"/>
      <c r="B15" s="20" t="str">
        <f t="shared" si="2"/>
        <v>Moderado-HORTELARIAS</v>
      </c>
      <c r="C15" s="19" t="s">
        <v>42</v>
      </c>
      <c r="D15" s="21" t="s">
        <v>30</v>
      </c>
      <c r="E15" s="22">
        <v>0.1</v>
      </c>
      <c r="H15" s="23" t="str">
        <f t="shared" si="0"/>
        <v>Agressivo-PAPEL</v>
      </c>
      <c r="I15" s="24">
        <f t="shared" si="1"/>
        <v>0.5</v>
      </c>
    </row>
    <row r="16" spans="1:9">
      <c r="B16" s="1" t="str">
        <f t="shared" si="2"/>
        <v>Agressivo-PAPEL</v>
      </c>
      <c r="C16" t="s">
        <v>20</v>
      </c>
      <c r="D16" s="16" t="s">
        <v>25</v>
      </c>
      <c r="E16" s="18">
        <v>0.5</v>
      </c>
      <c r="H16" s="23" t="str">
        <f t="shared" si="0"/>
        <v>Agressivo-TIJOLO</v>
      </c>
      <c r="I16" s="24">
        <f t="shared" si="1"/>
        <v>0.1</v>
      </c>
    </row>
    <row r="17" spans="2:9">
      <c r="B17" s="1" t="str">
        <f t="shared" si="2"/>
        <v>Agressivo-TIJOLO</v>
      </c>
      <c r="C17" t="s">
        <v>20</v>
      </c>
      <c r="D17" s="16" t="s">
        <v>26</v>
      </c>
      <c r="E17" s="18">
        <v>0.1</v>
      </c>
      <c r="H17" s="23" t="str">
        <f t="shared" si="0"/>
        <v>Agressivo-HÍBRIDOS</v>
      </c>
      <c r="I17" s="24">
        <f t="shared" si="1"/>
        <v>0.05</v>
      </c>
    </row>
    <row r="18" spans="2:9">
      <c r="B18" s="1" t="str">
        <f t="shared" si="2"/>
        <v>Agressivo-HÍBRIDOS</v>
      </c>
      <c r="C18" t="s">
        <v>20</v>
      </c>
      <c r="D18" s="16" t="s">
        <v>27</v>
      </c>
      <c r="E18" s="18">
        <v>0.05</v>
      </c>
      <c r="H18" s="23" t="str">
        <f t="shared" si="0"/>
        <v>Agressivo-FOFs</v>
      </c>
      <c r="I18" s="24">
        <f t="shared" si="1"/>
        <v>0.05</v>
      </c>
    </row>
    <row r="19" spans="2:9">
      <c r="B19" s="1" t="str">
        <f t="shared" si="2"/>
        <v>Agressivo-FOFs</v>
      </c>
      <c r="C19" t="s">
        <v>20</v>
      </c>
      <c r="D19" s="16" t="s">
        <v>28</v>
      </c>
      <c r="E19" s="18">
        <v>0.05</v>
      </c>
      <c r="H19" s="23" t="str">
        <f t="shared" si="0"/>
        <v>Agressivo-DESENVOLVIMENTO</v>
      </c>
      <c r="I19" s="24">
        <f t="shared" si="1"/>
        <v>0.2</v>
      </c>
    </row>
    <row r="20" spans="2:9">
      <c r="B20" s="1" t="str">
        <f t="shared" si="2"/>
        <v>Agressivo-DESENVOLVIMENTO</v>
      </c>
      <c r="C20" t="s">
        <v>20</v>
      </c>
      <c r="D20" s="16" t="s">
        <v>29</v>
      </c>
      <c r="E20" s="18">
        <v>0.2</v>
      </c>
      <c r="H20" s="23" t="str">
        <f t="shared" si="0"/>
        <v>Agressivo-HORTELARIAS</v>
      </c>
      <c r="I20" s="24">
        <f t="shared" si="1"/>
        <v>0.1</v>
      </c>
    </row>
    <row r="21" spans="2:9">
      <c r="B21" s="1" t="str">
        <f t="shared" si="2"/>
        <v>Agressivo-HORTELARIAS</v>
      </c>
      <c r="C21" t="s">
        <v>20</v>
      </c>
      <c r="D21" s="16" t="s">
        <v>30</v>
      </c>
      <c r="E21" s="1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2026-02-11T22:53:44Z</dcterms:created>
  <dcterms:modified xsi:type="dcterms:W3CDTF">2026-02-14T00:21:16Z</dcterms:modified>
  <cp:category/>
  <cp:contentStatus/>
</cp:coreProperties>
</file>